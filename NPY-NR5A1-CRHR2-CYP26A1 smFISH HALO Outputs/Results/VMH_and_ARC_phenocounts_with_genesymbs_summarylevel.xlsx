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mulvey/Desktop/KM Lab/local_hthspatial/NPY-NR5A1-CRHR2-CYP26A1 smFISH HALO Outputs/Results/"/>
    </mc:Choice>
  </mc:AlternateContent>
  <xr:revisionPtr revIDLastSave="0" documentId="8_{590B191D-9E07-4F4F-927C-220BBEDD1F70}" xr6:coauthVersionLast="47" xr6:coauthVersionMax="47" xr10:uidLastSave="{00000000-0000-0000-0000-000000000000}"/>
  <bookViews>
    <workbookView xWindow="3300" yWindow="2160" windowWidth="28000" windowHeight="17440" xr2:uid="{CB05E823-0623-BA4D-BD6B-9528CD3124F8}"/>
  </bookViews>
  <sheets>
    <sheet name="VMH_and_ARC_phenocounts_with_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2" i="1" l="1"/>
  <c r="E42" i="1" s="1"/>
  <c r="D39" i="1"/>
  <c r="E39" i="1"/>
  <c r="C38" i="1"/>
  <c r="B38" i="1"/>
  <c r="C46" i="1"/>
  <c r="B46" i="1"/>
  <c r="C45" i="1"/>
  <c r="B45" i="1"/>
  <c r="C44" i="1"/>
  <c r="B44" i="1"/>
  <c r="C43" i="1"/>
  <c r="B43" i="1"/>
  <c r="B42" i="1"/>
  <c r="D42" i="1" s="1"/>
  <c r="C40" i="1"/>
  <c r="B40" i="1"/>
  <c r="C36" i="1"/>
  <c r="B36" i="1"/>
  <c r="C37" i="1"/>
  <c r="B37" i="1"/>
  <c r="C35" i="1"/>
  <c r="B35" i="1"/>
  <c r="C34" i="1"/>
  <c r="B34" i="1"/>
  <c r="D44" i="1" l="1"/>
  <c r="D45" i="1"/>
  <c r="D36" i="1"/>
  <c r="E36" i="1"/>
  <c r="E46" i="1"/>
  <c r="E43" i="1"/>
  <c r="D37" i="1"/>
  <c r="E45" i="1"/>
  <c r="D46" i="1"/>
  <c r="D40" i="1"/>
  <c r="D43" i="1"/>
  <c r="E44" i="1"/>
  <c r="E37" i="1"/>
  <c r="E40" i="1"/>
  <c r="D35" i="1"/>
  <c r="E35" i="1"/>
  <c r="B47" i="1"/>
  <c r="D47" i="1" s="1"/>
  <c r="C47" i="1"/>
  <c r="E47" i="1" s="1"/>
  <c r="E48" i="1" l="1"/>
  <c r="D48" i="1"/>
</calcChain>
</file>

<file path=xl/sharedStrings.xml><?xml version="1.0" encoding="utf-8"?>
<sst xmlns="http://schemas.openxmlformats.org/spreadsheetml/2006/main" count="90" uniqueCount="50">
  <si>
    <t>phenotype</t>
  </si>
  <si>
    <t>Br1225_VMH_ARC</t>
  </si>
  <si>
    <t>Br1735_VMH_ARC</t>
  </si>
  <si>
    <t>Br6588_VMH_ARC</t>
  </si>
  <si>
    <t>Br8741_VMH_ARC</t>
  </si>
  <si>
    <t>Br5459_VMH_ARC</t>
  </si>
  <si>
    <t>Br5993_VMH_ARC</t>
  </si>
  <si>
    <t>Br8667_VMH_ARC</t>
  </si>
  <si>
    <t>Br6197_VMH_ARC</t>
  </si>
  <si>
    <t>dom</t>
  </si>
  <si>
    <t>maletot</t>
  </si>
  <si>
    <t>femtot</t>
  </si>
  <si>
    <t>maleprop</t>
  </si>
  <si>
    <t>femprop</t>
  </si>
  <si>
    <t>NPY+ CRHR2+ NR5A1+ CYP26A1+</t>
  </si>
  <si>
    <t>VMH</t>
  </si>
  <si>
    <t>NPY+ CRHR2+ NR5A1+ CYP26A1-</t>
  </si>
  <si>
    <t>NPY+ CRHR2+ NR5A1- CYP26A1+</t>
  </si>
  <si>
    <t>NPY+ CRHR2+ NR5A1- CYP26A1-</t>
  </si>
  <si>
    <t>NPY+ CRHR2- NR5A1+ CYP26A1+</t>
  </si>
  <si>
    <t>NPY+ CRHR2- NR5A1+ CYP26A1-</t>
  </si>
  <si>
    <t>NPY+ CRHR2- NR5A1- CYP26A1+</t>
  </si>
  <si>
    <t>NPY+ CRHR2- NR5A1- CYP26A1-</t>
  </si>
  <si>
    <t>NPY- CRHR2+ NR5A1+ CYP26A1+</t>
  </si>
  <si>
    <t>NPY- CRHR2+ NR5A1+ CYP26A1-</t>
  </si>
  <si>
    <t>NPY- CRHR2+ NR5A1- CYP26A1+</t>
  </si>
  <si>
    <t>NPY- CRHR2+ NR5A1- CYP26A1-</t>
  </si>
  <si>
    <t>NPY- CRHR2- NR5A1+ CYP26A1+</t>
  </si>
  <si>
    <t>NPY- CRHR2- NR5A1+ CYP26A1-</t>
  </si>
  <si>
    <t>NPY- CRHR2- NR5A1- CYP26A1+</t>
  </si>
  <si>
    <t>NPY- CRHR2- NR5A1- CYP26A1-</t>
  </si>
  <si>
    <t>ARC</t>
  </si>
  <si>
    <t>Male Prop</t>
  </si>
  <si>
    <t>Female Prop</t>
  </si>
  <si>
    <t>ARC: NPY+ CYP26A1+</t>
  </si>
  <si>
    <t>ARC: NPY+ CYP26A1-</t>
  </si>
  <si>
    <t>VMH: CRHR2+ NR5A1+ CYP26A1+</t>
  </si>
  <si>
    <t>VMH: CRHR2+ NR5A1- CYP26A1+</t>
  </si>
  <si>
    <t>VMH: CRHR2- NR5A1+ CYP26A1+</t>
  </si>
  <si>
    <t>ARC: All Cells</t>
  </si>
  <si>
    <t>VMH: All Cells</t>
  </si>
  <si>
    <t>Male cells</t>
  </si>
  <si>
    <t>Female cells</t>
  </si>
  <si>
    <t>ARC: All CYP26A1+ NR5A1- CRHR2-</t>
  </si>
  <si>
    <t>ARC: All CYP26A1+</t>
  </si>
  <si>
    <t>VMH: Any CRHR2+CYP26A1+</t>
  </si>
  <si>
    <t>VMH: Any CRHR2+</t>
  </si>
  <si>
    <t>CYP26A1+ among CRHR2+ cells</t>
  </si>
  <si>
    <t>ARC: All NPY+</t>
  </si>
  <si>
    <t>ARC: CYP26A1+ among NPY+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</si>
</sst>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</font>
    <font>
      <sz val="12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2"/>
      <color rgb="FF006100"/>
      <name val="Calibri"/>
      <family val="2"/>
    </font>
    <font>
      <sz val="12"/>
      <color rgb="FF9C0006"/>
      <name val="Calibri"/>
      <family val="2"/>
    </font>
    <font>
      <sz val="12"/>
      <color rgb="FF9C5700"/>
      <name val="Calibri"/>
      <family val="2"/>
    </font>
    <font>
      <sz val="12"/>
      <color rgb="FF3F3F76"/>
      <name val="Calibri"/>
      <family val="2"/>
    </font>
    <font>
      <b/>
      <sz val="12"/>
      <color rgb="FF3F3F3F"/>
      <name val="Calibri"/>
      <family val="2"/>
    </font>
    <font>
      <b/>
      <sz val="12"/>
      <color rgb="FFFA7D00"/>
      <name val="Calibri"/>
      <family val="2"/>
    </font>
    <font>
      <sz val="12"/>
      <color rgb="FFFA7D00"/>
      <name val="Calibri"/>
      <family val="2"/>
    </font>
    <font>
      <b/>
      <sz val="12"/>
      <color theme="0"/>
      <name val="Calibri"/>
      <family val="2"/>
    </font>
    <font>
      <sz val="12"/>
      <color rgb="FFFF0000"/>
      <name val="Calibri"/>
      <family val="2"/>
    </font>
    <font>
      <i/>
      <sz val="12"/>
      <color rgb="FF7F7F7F"/>
      <name val="Calibri"/>
      <family val="2"/>
    </font>
    <font>
      <b/>
      <sz val="12"/>
      <color theme="1"/>
      <name val="Calibri"/>
      <family val="2"/>
    </font>
    <font>
      <sz val="12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83079-05E0-6145-9A06-7A85CC386140}">
  <dimension ref="A1:N57"/>
  <sheetViews>
    <sheetView tabSelected="1" topLeftCell="A21" zoomScale="99" workbookViewId="0">
      <selection activeCell="D30" sqref="D30"/>
    </sheetView>
  </sheetViews>
  <sheetFormatPr baseColWidth="10" defaultRowHeight="16" x14ac:dyDescent="0.2"/>
  <cols>
    <col min="1" max="1" width="42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t="s">
        <v>14</v>
      </c>
      <c r="B2">
        <v>1</v>
      </c>
      <c r="C2">
        <v>1</v>
      </c>
      <c r="D2">
        <v>3</v>
      </c>
      <c r="E2">
        <v>0</v>
      </c>
      <c r="F2">
        <v>0</v>
      </c>
      <c r="G2">
        <v>0</v>
      </c>
      <c r="H2">
        <v>0</v>
      </c>
      <c r="I2">
        <v>0</v>
      </c>
      <c r="J2" t="s">
        <v>15</v>
      </c>
      <c r="K2">
        <v>2</v>
      </c>
      <c r="L2">
        <v>3</v>
      </c>
      <c r="M2" s="1">
        <v>6.8799449604403204E-5</v>
      </c>
      <c r="N2">
        <v>1.3079304181017599E-4</v>
      </c>
    </row>
    <row r="3" spans="1:14" x14ac:dyDescent="0.2">
      <c r="A3" t="s">
        <v>16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 t="s">
        <v>15</v>
      </c>
      <c r="K3">
        <v>0</v>
      </c>
      <c r="L3">
        <v>1</v>
      </c>
      <c r="M3">
        <v>0</v>
      </c>
      <c r="N3" s="1">
        <v>4.3597680603391899E-5</v>
      </c>
    </row>
    <row r="4" spans="1:14" x14ac:dyDescent="0.2">
      <c r="A4" t="s">
        <v>17</v>
      </c>
      <c r="B4">
        <v>0</v>
      </c>
      <c r="C4">
        <v>1</v>
      </c>
      <c r="D4">
        <v>4</v>
      </c>
      <c r="E4">
        <v>0</v>
      </c>
      <c r="F4">
        <v>0</v>
      </c>
      <c r="G4">
        <v>0</v>
      </c>
      <c r="H4">
        <v>0</v>
      </c>
      <c r="I4">
        <v>0</v>
      </c>
      <c r="J4" t="s">
        <v>15</v>
      </c>
      <c r="K4">
        <v>1</v>
      </c>
      <c r="L4">
        <v>4</v>
      </c>
      <c r="M4" s="1">
        <v>3.4399724802201602E-5</v>
      </c>
      <c r="N4">
        <v>1.74390722413568E-4</v>
      </c>
    </row>
    <row r="5" spans="1:14" x14ac:dyDescent="0.2">
      <c r="A5" t="s">
        <v>18</v>
      </c>
      <c r="B5">
        <v>2</v>
      </c>
      <c r="C5">
        <v>1</v>
      </c>
      <c r="D5">
        <v>2</v>
      </c>
      <c r="E5">
        <v>1</v>
      </c>
      <c r="F5">
        <v>0</v>
      </c>
      <c r="G5">
        <v>0</v>
      </c>
      <c r="H5">
        <v>0</v>
      </c>
      <c r="I5">
        <v>0</v>
      </c>
      <c r="J5" t="s">
        <v>15</v>
      </c>
      <c r="K5">
        <v>3</v>
      </c>
      <c r="L5">
        <v>3</v>
      </c>
      <c r="M5">
        <v>1.03199174406605E-4</v>
      </c>
      <c r="N5">
        <v>1.3079304181017599E-4</v>
      </c>
    </row>
    <row r="6" spans="1:14" x14ac:dyDescent="0.2">
      <c r="A6" t="s">
        <v>19</v>
      </c>
      <c r="B6">
        <v>1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 t="s">
        <v>15</v>
      </c>
      <c r="K6">
        <v>3</v>
      </c>
      <c r="L6">
        <v>0</v>
      </c>
      <c r="M6">
        <v>1.03199174406605E-4</v>
      </c>
      <c r="N6">
        <v>0</v>
      </c>
    </row>
    <row r="7" spans="1:14" x14ac:dyDescent="0.2">
      <c r="A7" t="s">
        <v>20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 t="s">
        <v>15</v>
      </c>
      <c r="K7">
        <v>0</v>
      </c>
      <c r="L7">
        <v>1</v>
      </c>
      <c r="M7">
        <v>0</v>
      </c>
      <c r="N7" s="1">
        <v>4.3597680603391899E-5</v>
      </c>
    </row>
    <row r="8" spans="1:14" x14ac:dyDescent="0.2">
      <c r="A8" t="s">
        <v>21</v>
      </c>
      <c r="B8">
        <v>3</v>
      </c>
      <c r="C8">
        <v>3</v>
      </c>
      <c r="D8">
        <v>2</v>
      </c>
      <c r="E8">
        <v>0</v>
      </c>
      <c r="F8">
        <v>7</v>
      </c>
      <c r="G8">
        <v>1</v>
      </c>
      <c r="H8">
        <v>0</v>
      </c>
      <c r="I8">
        <v>0</v>
      </c>
      <c r="J8" t="s">
        <v>15</v>
      </c>
      <c r="K8">
        <v>13</v>
      </c>
      <c r="L8">
        <v>3</v>
      </c>
      <c r="M8">
        <v>4.4719642242862102E-4</v>
      </c>
      <c r="N8">
        <v>1.3079304181017599E-4</v>
      </c>
    </row>
    <row r="9" spans="1:14" x14ac:dyDescent="0.2">
      <c r="A9" t="s">
        <v>22</v>
      </c>
      <c r="B9">
        <v>31</v>
      </c>
      <c r="C9">
        <v>31</v>
      </c>
      <c r="D9">
        <v>46</v>
      </c>
      <c r="E9">
        <v>13</v>
      </c>
      <c r="F9">
        <v>0</v>
      </c>
      <c r="G9">
        <v>17</v>
      </c>
      <c r="H9">
        <v>3</v>
      </c>
      <c r="I9">
        <v>0</v>
      </c>
      <c r="J9" t="s">
        <v>15</v>
      </c>
      <c r="K9">
        <v>62</v>
      </c>
      <c r="L9">
        <v>79</v>
      </c>
      <c r="M9">
        <v>2.1327829377365002E-3</v>
      </c>
      <c r="N9">
        <v>3.44421676766796E-3</v>
      </c>
    </row>
    <row r="10" spans="1:14" x14ac:dyDescent="0.2">
      <c r="A10" t="s">
        <v>23</v>
      </c>
      <c r="B10">
        <v>242</v>
      </c>
      <c r="C10">
        <v>368</v>
      </c>
      <c r="D10">
        <v>466</v>
      </c>
      <c r="E10">
        <v>159</v>
      </c>
      <c r="F10">
        <v>58</v>
      </c>
      <c r="G10">
        <v>16</v>
      </c>
      <c r="H10">
        <v>0</v>
      </c>
      <c r="I10">
        <v>50</v>
      </c>
      <c r="J10" t="s">
        <v>15</v>
      </c>
      <c r="K10">
        <v>718</v>
      </c>
      <c r="L10">
        <v>641</v>
      </c>
      <c r="M10">
        <v>2.4699002407980699E-2</v>
      </c>
      <c r="N10">
        <v>2.7946113266774202E-2</v>
      </c>
    </row>
    <row r="11" spans="1:14" x14ac:dyDescent="0.2">
      <c r="A11" t="s">
        <v>24</v>
      </c>
      <c r="B11">
        <v>101</v>
      </c>
      <c r="C11">
        <v>279</v>
      </c>
      <c r="D11">
        <v>516</v>
      </c>
      <c r="E11">
        <v>221</v>
      </c>
      <c r="F11">
        <v>3</v>
      </c>
      <c r="G11">
        <v>12</v>
      </c>
      <c r="H11">
        <v>25</v>
      </c>
      <c r="I11">
        <v>345</v>
      </c>
      <c r="J11" t="s">
        <v>15</v>
      </c>
      <c r="K11">
        <v>728</v>
      </c>
      <c r="L11">
        <v>774</v>
      </c>
      <c r="M11">
        <v>2.5042999656002801E-2</v>
      </c>
      <c r="N11">
        <v>3.3744604787025297E-2</v>
      </c>
    </row>
    <row r="12" spans="1:14" x14ac:dyDescent="0.2">
      <c r="A12" t="s">
        <v>25</v>
      </c>
      <c r="B12">
        <v>228</v>
      </c>
      <c r="C12">
        <v>74</v>
      </c>
      <c r="D12">
        <v>173</v>
      </c>
      <c r="E12">
        <v>36</v>
      </c>
      <c r="F12">
        <v>98</v>
      </c>
      <c r="G12">
        <v>118</v>
      </c>
      <c r="H12">
        <v>16</v>
      </c>
      <c r="I12">
        <v>93</v>
      </c>
      <c r="J12" t="s">
        <v>15</v>
      </c>
      <c r="K12">
        <v>493</v>
      </c>
      <c r="L12">
        <v>343</v>
      </c>
      <c r="M12">
        <v>1.6959064327485399E-2</v>
      </c>
      <c r="N12">
        <v>1.49540044469634E-2</v>
      </c>
    </row>
    <row r="13" spans="1:14" x14ac:dyDescent="0.2">
      <c r="A13" t="s">
        <v>26</v>
      </c>
      <c r="B13">
        <v>129</v>
      </c>
      <c r="C13">
        <v>99</v>
      </c>
      <c r="D13">
        <v>292</v>
      </c>
      <c r="E13">
        <v>75</v>
      </c>
      <c r="F13">
        <v>12</v>
      </c>
      <c r="G13">
        <v>192</v>
      </c>
      <c r="H13">
        <v>257</v>
      </c>
      <c r="I13">
        <v>1382</v>
      </c>
      <c r="J13" t="s">
        <v>15</v>
      </c>
      <c r="K13">
        <v>1622</v>
      </c>
      <c r="L13">
        <v>816</v>
      </c>
      <c r="M13">
        <v>5.5796353629171E-2</v>
      </c>
      <c r="N13">
        <v>3.5575707372367801E-2</v>
      </c>
    </row>
    <row r="14" spans="1:14" x14ac:dyDescent="0.2">
      <c r="A14" t="s">
        <v>27</v>
      </c>
      <c r="B14">
        <v>76</v>
      </c>
      <c r="C14">
        <v>189</v>
      </c>
      <c r="D14">
        <v>89</v>
      </c>
      <c r="E14">
        <v>110</v>
      </c>
      <c r="F14">
        <v>161</v>
      </c>
      <c r="G14">
        <v>13</v>
      </c>
      <c r="H14">
        <v>3</v>
      </c>
      <c r="I14">
        <v>17</v>
      </c>
      <c r="J14" t="s">
        <v>15</v>
      </c>
      <c r="K14">
        <v>443</v>
      </c>
      <c r="L14">
        <v>215</v>
      </c>
      <c r="M14">
        <v>1.5239078087375299E-2</v>
      </c>
      <c r="N14">
        <v>9.3735013297292606E-3</v>
      </c>
    </row>
    <row r="15" spans="1:14" x14ac:dyDescent="0.2">
      <c r="A15" t="s">
        <v>28</v>
      </c>
      <c r="B15">
        <v>160</v>
      </c>
      <c r="C15">
        <v>270</v>
      </c>
      <c r="D15">
        <v>393</v>
      </c>
      <c r="E15">
        <v>355</v>
      </c>
      <c r="F15">
        <v>25</v>
      </c>
      <c r="G15">
        <v>17</v>
      </c>
      <c r="H15">
        <v>37</v>
      </c>
      <c r="I15">
        <v>127</v>
      </c>
      <c r="J15" t="s">
        <v>15</v>
      </c>
      <c r="K15">
        <v>582</v>
      </c>
      <c r="L15">
        <v>802</v>
      </c>
      <c r="M15">
        <v>2.0020639834881299E-2</v>
      </c>
      <c r="N15">
        <v>3.49653398439203E-2</v>
      </c>
    </row>
    <row r="16" spans="1:14" x14ac:dyDescent="0.2">
      <c r="A16" t="s">
        <v>29</v>
      </c>
      <c r="B16">
        <v>367</v>
      </c>
      <c r="C16">
        <v>184</v>
      </c>
      <c r="D16">
        <v>292</v>
      </c>
      <c r="E16">
        <v>153</v>
      </c>
      <c r="F16">
        <v>616</v>
      </c>
      <c r="G16">
        <v>214</v>
      </c>
      <c r="H16">
        <v>25</v>
      </c>
      <c r="I16">
        <v>63</v>
      </c>
      <c r="J16" t="s">
        <v>15</v>
      </c>
      <c r="K16">
        <v>1230</v>
      </c>
      <c r="L16">
        <v>684</v>
      </c>
      <c r="M16">
        <v>4.2311661506708002E-2</v>
      </c>
      <c r="N16">
        <v>2.9820813532720099E-2</v>
      </c>
    </row>
    <row r="17" spans="1:14" x14ac:dyDescent="0.2">
      <c r="A17" t="s">
        <v>30</v>
      </c>
      <c r="B17">
        <v>4780</v>
      </c>
      <c r="C17">
        <v>5382</v>
      </c>
      <c r="D17">
        <v>6671</v>
      </c>
      <c r="E17">
        <v>5630</v>
      </c>
      <c r="F17">
        <v>3193</v>
      </c>
      <c r="G17">
        <v>3683</v>
      </c>
      <c r="H17">
        <v>2584</v>
      </c>
      <c r="I17">
        <v>9815</v>
      </c>
      <c r="J17" t="s">
        <v>15</v>
      </c>
      <c r="K17">
        <v>23170</v>
      </c>
      <c r="L17">
        <v>18568</v>
      </c>
      <c r="M17">
        <v>0.79704162366701103</v>
      </c>
      <c r="N17">
        <v>0.80952173344378098</v>
      </c>
    </row>
    <row r="18" spans="1:14" x14ac:dyDescent="0.2">
      <c r="A18" t="s">
        <v>17</v>
      </c>
      <c r="B18">
        <v>1</v>
      </c>
      <c r="C18">
        <v>15</v>
      </c>
      <c r="D18">
        <v>2</v>
      </c>
      <c r="E18">
        <v>0</v>
      </c>
      <c r="F18">
        <v>0</v>
      </c>
      <c r="G18">
        <v>0</v>
      </c>
      <c r="H18">
        <v>0</v>
      </c>
      <c r="I18">
        <v>0</v>
      </c>
      <c r="J18" t="s">
        <v>31</v>
      </c>
      <c r="K18">
        <v>16</v>
      </c>
      <c r="L18">
        <v>2</v>
      </c>
      <c r="M18">
        <v>7.5276405551634896E-4</v>
      </c>
      <c r="N18" s="1">
        <v>8.6636343946285504E-5</v>
      </c>
    </row>
    <row r="19" spans="1:14" x14ac:dyDescent="0.2">
      <c r="A19" t="s">
        <v>18</v>
      </c>
      <c r="B19">
        <v>1</v>
      </c>
      <c r="C19">
        <v>10</v>
      </c>
      <c r="D19">
        <v>1</v>
      </c>
      <c r="E19">
        <v>0</v>
      </c>
      <c r="F19">
        <v>0</v>
      </c>
      <c r="G19">
        <v>1</v>
      </c>
      <c r="H19">
        <v>0</v>
      </c>
      <c r="I19">
        <v>1</v>
      </c>
      <c r="J19" t="s">
        <v>31</v>
      </c>
      <c r="K19">
        <v>12</v>
      </c>
      <c r="L19">
        <v>2</v>
      </c>
      <c r="M19">
        <v>5.6457304163726196E-4</v>
      </c>
      <c r="N19" s="1">
        <v>8.6636343946285504E-5</v>
      </c>
    </row>
    <row r="20" spans="1:14" x14ac:dyDescent="0.2">
      <c r="A20" t="s">
        <v>19</v>
      </c>
      <c r="B20">
        <v>0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t="s">
        <v>31</v>
      </c>
      <c r="K20">
        <v>1</v>
      </c>
      <c r="L20">
        <v>0</v>
      </c>
      <c r="M20" s="1">
        <v>4.7047753469771803E-5</v>
      </c>
      <c r="N20">
        <v>0</v>
      </c>
    </row>
    <row r="21" spans="1:14" x14ac:dyDescent="0.2">
      <c r="A21" t="s">
        <v>21</v>
      </c>
      <c r="B21">
        <v>54</v>
      </c>
      <c r="C21">
        <v>41</v>
      </c>
      <c r="D21">
        <v>81</v>
      </c>
      <c r="E21">
        <v>19</v>
      </c>
      <c r="F21">
        <v>45</v>
      </c>
      <c r="G21">
        <v>8</v>
      </c>
      <c r="H21">
        <v>0</v>
      </c>
      <c r="I21">
        <v>0</v>
      </c>
      <c r="J21" t="s">
        <v>31</v>
      </c>
      <c r="K21">
        <v>140</v>
      </c>
      <c r="L21">
        <v>108</v>
      </c>
      <c r="M21">
        <v>6.58668548576805E-3</v>
      </c>
      <c r="N21">
        <v>4.6783625730994196E-3</v>
      </c>
    </row>
    <row r="22" spans="1:14" x14ac:dyDescent="0.2">
      <c r="A22" t="s">
        <v>22</v>
      </c>
      <c r="B22">
        <v>234</v>
      </c>
      <c r="C22">
        <v>61</v>
      </c>
      <c r="D22">
        <v>399</v>
      </c>
      <c r="E22">
        <v>344</v>
      </c>
      <c r="F22">
        <v>2</v>
      </c>
      <c r="G22">
        <v>456</v>
      </c>
      <c r="H22">
        <v>76</v>
      </c>
      <c r="I22">
        <v>19</v>
      </c>
      <c r="J22" t="s">
        <v>31</v>
      </c>
      <c r="K22">
        <v>316</v>
      </c>
      <c r="L22">
        <v>1275</v>
      </c>
      <c r="M22">
        <v>1.4867090096447899E-2</v>
      </c>
      <c r="N22">
        <v>5.5230669265757003E-2</v>
      </c>
    </row>
    <row r="23" spans="1:14" x14ac:dyDescent="0.2">
      <c r="A23" t="s">
        <v>23</v>
      </c>
      <c r="B23">
        <v>6</v>
      </c>
      <c r="C23">
        <v>4</v>
      </c>
      <c r="D23">
        <v>2</v>
      </c>
      <c r="E23">
        <v>2</v>
      </c>
      <c r="F23">
        <v>7</v>
      </c>
      <c r="G23">
        <v>0</v>
      </c>
      <c r="H23">
        <v>0</v>
      </c>
      <c r="I23">
        <v>2</v>
      </c>
      <c r="J23" t="s">
        <v>31</v>
      </c>
      <c r="K23">
        <v>19</v>
      </c>
      <c r="L23">
        <v>4</v>
      </c>
      <c r="M23">
        <v>8.9390731592566496E-4</v>
      </c>
      <c r="N23">
        <v>1.7327268789257101E-4</v>
      </c>
    </row>
    <row r="24" spans="1:14" x14ac:dyDescent="0.2">
      <c r="A24" t="s">
        <v>24</v>
      </c>
      <c r="B24">
        <v>48</v>
      </c>
      <c r="C24">
        <v>2</v>
      </c>
      <c r="D24">
        <v>4</v>
      </c>
      <c r="E24">
        <v>4</v>
      </c>
      <c r="F24">
        <v>0</v>
      </c>
      <c r="G24">
        <v>3</v>
      </c>
      <c r="H24">
        <v>5</v>
      </c>
      <c r="I24">
        <v>4</v>
      </c>
      <c r="J24" t="s">
        <v>31</v>
      </c>
      <c r="K24">
        <v>54</v>
      </c>
      <c r="L24">
        <v>16</v>
      </c>
      <c r="M24">
        <v>2.5405786873676801E-3</v>
      </c>
      <c r="N24">
        <v>6.9309075157028403E-4</v>
      </c>
    </row>
    <row r="25" spans="1:14" x14ac:dyDescent="0.2">
      <c r="A25" t="s">
        <v>25</v>
      </c>
      <c r="B25">
        <v>28</v>
      </c>
      <c r="C25">
        <v>101</v>
      </c>
      <c r="D25">
        <v>40</v>
      </c>
      <c r="E25">
        <v>9</v>
      </c>
      <c r="F25">
        <v>98</v>
      </c>
      <c r="G25">
        <v>2</v>
      </c>
      <c r="H25">
        <v>4</v>
      </c>
      <c r="I25">
        <v>12</v>
      </c>
      <c r="J25" t="s">
        <v>31</v>
      </c>
      <c r="K25">
        <v>239</v>
      </c>
      <c r="L25">
        <v>55</v>
      </c>
      <c r="M25">
        <v>1.1244413079275499E-2</v>
      </c>
      <c r="N25">
        <v>2.3824994585228501E-3</v>
      </c>
    </row>
    <row r="26" spans="1:14" x14ac:dyDescent="0.2">
      <c r="A26" t="s">
        <v>26</v>
      </c>
      <c r="B26">
        <v>75</v>
      </c>
      <c r="C26">
        <v>90</v>
      </c>
      <c r="D26">
        <v>154</v>
      </c>
      <c r="E26">
        <v>116</v>
      </c>
      <c r="F26">
        <v>14</v>
      </c>
      <c r="G26">
        <v>45</v>
      </c>
      <c r="H26">
        <v>94</v>
      </c>
      <c r="I26">
        <v>252</v>
      </c>
      <c r="J26" t="s">
        <v>31</v>
      </c>
      <c r="K26">
        <v>431</v>
      </c>
      <c r="L26">
        <v>409</v>
      </c>
      <c r="M26">
        <v>2.0277581745471701E-2</v>
      </c>
      <c r="N26">
        <v>1.7717132337015402E-2</v>
      </c>
    </row>
    <row r="27" spans="1:14" x14ac:dyDescent="0.2">
      <c r="A27" t="s">
        <v>27</v>
      </c>
      <c r="B27">
        <v>2</v>
      </c>
      <c r="C27">
        <v>23</v>
      </c>
      <c r="D27">
        <v>3</v>
      </c>
      <c r="E27">
        <v>3</v>
      </c>
      <c r="F27">
        <v>7</v>
      </c>
      <c r="G27">
        <v>0</v>
      </c>
      <c r="H27">
        <v>0</v>
      </c>
      <c r="I27">
        <v>1</v>
      </c>
      <c r="J27" t="s">
        <v>31</v>
      </c>
      <c r="K27">
        <v>33</v>
      </c>
      <c r="L27">
        <v>6</v>
      </c>
      <c r="M27">
        <v>1.5525758645024701E-3</v>
      </c>
      <c r="N27">
        <v>2.59909031838856E-4</v>
      </c>
    </row>
    <row r="28" spans="1:14" x14ac:dyDescent="0.2">
      <c r="A28" t="s">
        <v>28</v>
      </c>
      <c r="B28">
        <v>5</v>
      </c>
      <c r="C28">
        <v>14</v>
      </c>
      <c r="D28">
        <v>9</v>
      </c>
      <c r="E28">
        <v>15</v>
      </c>
      <c r="F28">
        <v>1</v>
      </c>
      <c r="G28">
        <v>0</v>
      </c>
      <c r="H28">
        <v>6</v>
      </c>
      <c r="I28">
        <v>24</v>
      </c>
      <c r="J28" t="s">
        <v>31</v>
      </c>
      <c r="K28">
        <v>44</v>
      </c>
      <c r="L28">
        <v>30</v>
      </c>
      <c r="M28">
        <v>2.07010115266996E-3</v>
      </c>
      <c r="N28">
        <v>1.29954515919428E-3</v>
      </c>
    </row>
    <row r="29" spans="1:14" x14ac:dyDescent="0.2">
      <c r="A29" t="s">
        <v>29</v>
      </c>
      <c r="B29">
        <v>584</v>
      </c>
      <c r="C29">
        <v>362</v>
      </c>
      <c r="D29">
        <v>977</v>
      </c>
      <c r="E29">
        <v>416</v>
      </c>
      <c r="F29">
        <v>1348</v>
      </c>
      <c r="G29">
        <v>164</v>
      </c>
      <c r="H29">
        <v>3</v>
      </c>
      <c r="I29">
        <v>87</v>
      </c>
      <c r="J29" t="s">
        <v>31</v>
      </c>
      <c r="K29">
        <v>2381</v>
      </c>
      <c r="L29">
        <v>1560</v>
      </c>
      <c r="M29">
        <v>0.112020701011527</v>
      </c>
      <c r="N29">
        <v>6.7576348278102702E-2</v>
      </c>
    </row>
    <row r="30" spans="1:14" x14ac:dyDescent="0.2">
      <c r="A30" t="s">
        <v>30</v>
      </c>
      <c r="B30">
        <v>4630</v>
      </c>
      <c r="C30">
        <v>3701</v>
      </c>
      <c r="D30">
        <v>6358</v>
      </c>
      <c r="E30">
        <v>6450</v>
      </c>
      <c r="F30">
        <v>2283</v>
      </c>
      <c r="G30">
        <v>4542</v>
      </c>
      <c r="H30">
        <v>2268</v>
      </c>
      <c r="I30">
        <v>6955</v>
      </c>
      <c r="J30" t="s">
        <v>31</v>
      </c>
      <c r="K30">
        <v>17569</v>
      </c>
      <c r="L30">
        <v>19618</v>
      </c>
      <c r="M30">
        <v>0.82658198071042099</v>
      </c>
      <c r="N30">
        <v>0.84981589776911404</v>
      </c>
    </row>
    <row r="33" spans="1:5" customFormat="1" x14ac:dyDescent="0.2">
      <c r="B33" s="2" t="s">
        <v>41</v>
      </c>
      <c r="C33" s="2" t="s">
        <v>42</v>
      </c>
      <c r="D33" s="2" t="s">
        <v>32</v>
      </c>
      <c r="E33" s="2" t="s">
        <v>33</v>
      </c>
    </row>
    <row r="34" spans="1:5" customFormat="1" x14ac:dyDescent="0.2">
      <c r="A34" t="s">
        <v>39</v>
      </c>
      <c r="B34">
        <f>SUM(K18:K30)</f>
        <v>21255</v>
      </c>
      <c r="C34">
        <f>SUM(L18:L30)</f>
        <v>23085</v>
      </c>
      <c r="D34">
        <v>1</v>
      </c>
      <c r="E34">
        <v>1</v>
      </c>
    </row>
    <row r="35" spans="1:5" customFormat="1" x14ac:dyDescent="0.2">
      <c r="A35" t="s">
        <v>34</v>
      </c>
      <c r="B35">
        <f>SUM(K18,K20,K21)</f>
        <v>157</v>
      </c>
      <c r="C35">
        <f>SUM(L18,L20,L21)</f>
        <v>110</v>
      </c>
      <c r="D35">
        <f>B35/B34</f>
        <v>7.3864972947541756E-3</v>
      </c>
      <c r="E35">
        <f>C35/C34</f>
        <v>4.764998917045701E-3</v>
      </c>
    </row>
    <row r="36" spans="1:5" customFormat="1" x14ac:dyDescent="0.2">
      <c r="A36" t="s">
        <v>35</v>
      </c>
      <c r="B36">
        <f>SUM(K19,K22)</f>
        <v>328</v>
      </c>
      <c r="C36">
        <f>SUM(L19,L22)</f>
        <v>1277</v>
      </c>
      <c r="D36">
        <f>B36/$B$34</f>
        <v>1.5431663138085156E-2</v>
      </c>
      <c r="E36">
        <f>C36/$C$34</f>
        <v>5.5317305609703271E-2</v>
      </c>
    </row>
    <row r="37" spans="1:5" customFormat="1" x14ac:dyDescent="0.2">
      <c r="A37" t="s">
        <v>43</v>
      </c>
      <c r="B37">
        <f>SUM(K29,K21)</f>
        <v>2521</v>
      </c>
      <c r="C37">
        <f>SUM(L29,L21)</f>
        <v>1668</v>
      </c>
      <c r="D37">
        <f>B37/$B$34</f>
        <v>0.11860738649729476</v>
      </c>
      <c r="E37">
        <f>C37/$C$34</f>
        <v>7.2254710851202081E-2</v>
      </c>
    </row>
    <row r="38" spans="1:5" customFormat="1" x14ac:dyDescent="0.2">
      <c r="A38" t="s">
        <v>48</v>
      </c>
      <c r="B38">
        <f>SUM(K18,K19,K20,K21,K22)</f>
        <v>485</v>
      </c>
      <c r="C38">
        <f>SUM(L18,L19,L20,L21,L22)</f>
        <v>1387</v>
      </c>
    </row>
    <row r="39" spans="1:5" customFormat="1" x14ac:dyDescent="0.2">
      <c r="A39" s="2" t="s">
        <v>49</v>
      </c>
      <c r="D39">
        <f>B35/B38</f>
        <v>0.32371134020618558</v>
      </c>
      <c r="E39">
        <f>C35/C38</f>
        <v>7.9307858687815425E-2</v>
      </c>
    </row>
    <row r="40" spans="1:5" customFormat="1" x14ac:dyDescent="0.2">
      <c r="A40" s="2" t="s">
        <v>44</v>
      </c>
      <c r="B40">
        <f>SUM(K18,K20,K21,K23,K25,K27,K29)</f>
        <v>2829</v>
      </c>
      <c r="C40">
        <f>SUM(L18,L20,L21,L23,L25,L27,L29)</f>
        <v>1735</v>
      </c>
      <c r="D40">
        <f>B40/$B$34</f>
        <v>0.13309809456598448</v>
      </c>
      <c r="E40">
        <f>C40/$C$34</f>
        <v>7.5157028373402643E-2</v>
      </c>
    </row>
    <row r="41" spans="1:5" customFormat="1" x14ac:dyDescent="0.2"/>
    <row r="42" spans="1:5" customFormat="1" x14ac:dyDescent="0.2">
      <c r="A42" t="s">
        <v>40</v>
      </c>
      <c r="B42">
        <f>SUM(K2:K17)</f>
        <v>29070</v>
      </c>
      <c r="C42">
        <f>SUM(L2:L17)</f>
        <v>22937</v>
      </c>
      <c r="D42">
        <f>B42/$B$42</f>
        <v>1</v>
      </c>
      <c r="E42">
        <f>C42/$C$42</f>
        <v>1</v>
      </c>
    </row>
    <row r="43" spans="1:5" customFormat="1" x14ac:dyDescent="0.2">
      <c r="A43" t="s">
        <v>36</v>
      </c>
      <c r="B43">
        <f>SUM(K2,K10)</f>
        <v>720</v>
      </c>
      <c r="C43">
        <f>SUM(L2,L10)</f>
        <v>644</v>
      </c>
      <c r="D43">
        <f t="shared" ref="D43:D47" si="0">B43/$B$42</f>
        <v>2.4767801857585141E-2</v>
      </c>
      <c r="E43">
        <f t="shared" ref="E43:E47" si="1">C43/$C$42</f>
        <v>2.8076906308584382E-2</v>
      </c>
    </row>
    <row r="44" spans="1:5" customFormat="1" x14ac:dyDescent="0.2">
      <c r="A44" t="s">
        <v>37</v>
      </c>
      <c r="B44">
        <f>SUM(K4,K12)</f>
        <v>494</v>
      </c>
      <c r="C44">
        <f>SUM(L4,L12)</f>
        <v>347</v>
      </c>
      <c r="D44">
        <f t="shared" si="0"/>
        <v>1.699346405228758E-2</v>
      </c>
      <c r="E44">
        <f t="shared" si="1"/>
        <v>1.5128395169376989E-2</v>
      </c>
    </row>
    <row r="45" spans="1:5" customFormat="1" x14ac:dyDescent="0.2">
      <c r="A45" t="s">
        <v>38</v>
      </c>
      <c r="B45">
        <f>SUM(K6,K14)</f>
        <v>446</v>
      </c>
      <c r="C45">
        <f>SUM(L6,L14)</f>
        <v>215</v>
      </c>
      <c r="D45">
        <f t="shared" si="0"/>
        <v>1.5342277261781907E-2</v>
      </c>
      <c r="E45">
        <f t="shared" si="1"/>
        <v>9.3735013297292589E-3</v>
      </c>
    </row>
    <row r="46" spans="1:5" customFormat="1" x14ac:dyDescent="0.2">
      <c r="A46" t="s">
        <v>45</v>
      </c>
      <c r="B46">
        <f>SUM(K2,K4,K10,K12)</f>
        <v>1214</v>
      </c>
      <c r="C46">
        <f>SUM(L2,L4,L10,L12)</f>
        <v>991</v>
      </c>
      <c r="D46">
        <f t="shared" si="0"/>
        <v>4.1761265909872718E-2</v>
      </c>
      <c r="E46">
        <f t="shared" si="1"/>
        <v>4.3205301477961373E-2</v>
      </c>
    </row>
    <row r="47" spans="1:5" customFormat="1" x14ac:dyDescent="0.2">
      <c r="A47" t="s">
        <v>46</v>
      </c>
      <c r="B47">
        <f>SUM(B46,K3,K5,K11,K13)</f>
        <v>3567</v>
      </c>
      <c r="C47">
        <f>SUM(C46,L3,L5,L11,L13)</f>
        <v>2585</v>
      </c>
      <c r="D47">
        <f t="shared" si="0"/>
        <v>0.12270381836945304</v>
      </c>
      <c r="E47">
        <f t="shared" si="1"/>
        <v>0.11270000435976806</v>
      </c>
    </row>
    <row r="48" spans="1:5" customFormat="1" x14ac:dyDescent="0.2">
      <c r="A48" s="2" t="s">
        <v>47</v>
      </c>
      <c r="D48">
        <f>B46/B47</f>
        <v>0.34034202410989628</v>
      </c>
      <c r="E48">
        <f>C46/C47</f>
        <v>0.38336557059961313</v>
      </c>
    </row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VMH_and_ARC_phenocounts_with_ge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 Mulvey</cp:lastModifiedBy>
  <dcterms:created xsi:type="dcterms:W3CDTF">2025-11-04T20:48:55Z</dcterms:created>
  <dcterms:modified xsi:type="dcterms:W3CDTF">2025-11-04T20:48:55Z</dcterms:modified>
</cp:coreProperties>
</file>